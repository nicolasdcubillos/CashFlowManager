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COLASD\PERSONAL\CC SISTEMAS\OFIMATICA\INTECPLAST\CashFlowManager\CashflowDataGenerator\bin\Debug\"/>
    </mc:Choice>
  </mc:AlternateContent>
  <xr:revisionPtr revIDLastSave="0" documentId="8_{16E3E223-2D89-4DA1-8159-0CA45E5CACBE}" xr6:coauthVersionLast="47" xr6:coauthVersionMax="47" xr10:uidLastSave="{00000000-0000-0000-0000-000000000000}"/>
  <bookViews>
    <workbookView xWindow="3900" yWindow="3360" windowWidth="21600" windowHeight="11295" activeTab="1" xr2:uid="{0BF77B22-38E1-495B-9C6D-CB73C956667D}"/>
  </bookViews>
  <sheets>
    <sheet name="CF I Q-AJUSTADO USD" sheetId="1" r:id="rId1"/>
    <sheet name="CF I Q-AJUSTADO CO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3" i="2" l="1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</calcChain>
</file>

<file path=xl/sharedStrings.xml><?xml version="1.0" encoding="utf-8"?>
<sst xmlns="http://schemas.openxmlformats.org/spreadsheetml/2006/main" count="121" uniqueCount="60">
  <si>
    <t>Flujo de Caja Diciembre 2025 - Intecplast SAS</t>
  </si>
  <si>
    <t>TRM</t>
  </si>
  <si>
    <t>SEMANA 47</t>
  </si>
  <si>
    <t>SEMANA 48</t>
  </si>
  <si>
    <t>SEMANA 49</t>
  </si>
  <si>
    <t>SEMANA 50</t>
  </si>
  <si>
    <t>SEMANA 51</t>
  </si>
  <si>
    <t>SEMANA 52</t>
  </si>
  <si>
    <t>SEMANA 53</t>
  </si>
  <si>
    <t>ACTUAL</t>
  </si>
  <si>
    <t>SEMANA 2</t>
  </si>
  <si>
    <t>SEMANA 3</t>
  </si>
  <si>
    <t>SEMANA 4</t>
  </si>
  <si>
    <t>SEMANA 5</t>
  </si>
  <si>
    <t>SEMANA 6</t>
  </si>
  <si>
    <t>SEMANA 7</t>
  </si>
  <si>
    <t>PERIODO</t>
  </si>
  <si>
    <t>Saldo inicial bancos</t>
  </si>
  <si>
    <t>Disponible Bancos</t>
  </si>
  <si>
    <t>Ingresos</t>
  </si>
  <si>
    <t>Proyeccion Ventas Carvajal</t>
  </si>
  <si>
    <t>Clientes Nacionales</t>
  </si>
  <si>
    <t>Clientes Nacionales Carvajal</t>
  </si>
  <si>
    <t>Clientes del Exterior</t>
  </si>
  <si>
    <t>Reverse Factoring</t>
  </si>
  <si>
    <t>Prestamo Pieriplast</t>
  </si>
  <si>
    <t>Otros Ingresos</t>
  </si>
  <si>
    <t>Utilizacion Fiducia Impuesto al Plastico</t>
  </si>
  <si>
    <t>Monetizaciones - Usd a Cop</t>
  </si>
  <si>
    <t>Total ingresos</t>
  </si>
  <si>
    <t>Egresos</t>
  </si>
  <si>
    <t>Pago a Proveedores - Nacionales</t>
  </si>
  <si>
    <t>Pago Mano de Obra Terceros</t>
  </si>
  <si>
    <t>Pago a Proveedores - Exterior</t>
  </si>
  <si>
    <t>Pago Exportaciones</t>
  </si>
  <si>
    <t>Pago Nacionalizaciones Tariff from import</t>
  </si>
  <si>
    <t>Pago OC - OS Prepay</t>
  </si>
  <si>
    <t>Pago Moldes</t>
  </si>
  <si>
    <t>Pago de Facturas Negociables Proveedores Ext</t>
  </si>
  <si>
    <t>Pago al Personal</t>
  </si>
  <si>
    <t>Pago de Impuestos</t>
  </si>
  <si>
    <t>Pago de Servicios</t>
  </si>
  <si>
    <t>Pago Arriendos</t>
  </si>
  <si>
    <t>Total egresos</t>
  </si>
  <si>
    <t>Flujo Economico</t>
  </si>
  <si>
    <t>Prestamos Corto Plazo</t>
  </si>
  <si>
    <t>Retención Cuota Trimestral - Sindicado LT</t>
  </si>
  <si>
    <t>Tarjetas de Crédito</t>
  </si>
  <si>
    <t>Leasing Financiero</t>
  </si>
  <si>
    <t>Confirming Factoring with vendors</t>
  </si>
  <si>
    <t>Intereses Créditos</t>
  </si>
  <si>
    <t>Retoma Créditos</t>
  </si>
  <si>
    <t>Total Financiamiento</t>
  </si>
  <si>
    <t>Flujo de Caja Financiero</t>
  </si>
  <si>
    <t>PA Credicorp - Caja Retenida Reserva Credito (83237)</t>
  </si>
  <si>
    <t>PA Credicorp - Caja Retenida Pago Cuota Trimestral (83238)</t>
  </si>
  <si>
    <t>FIC Credicorp - Provision Impuesto al Plastico</t>
  </si>
  <si>
    <t>TOTAL 30 NOV 2025</t>
  </si>
  <si>
    <t>TOTAL CONTABILIDAD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</si>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</sst>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"/>
    <numFmt numFmtId="165" formatCode="#.##0;\-#.##0;&quot;-&quot;"/>
    <numFmt numFmtId="166" formatCode="#,##0;\-#,##0;&quot;-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D7D3D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ont="1" applyFill="1"/>
    <xf numFmtId="0" fontId="2" fillId="2" borderId="0" xfId="0" applyFont="1" applyFill="1"/>
    <xf numFmtId="0" fontId="1" fillId="2" borderId="0" xfId="0" applyFont="1" applyFill="1"/>
    <xf numFmtId="4" fontId="0" fillId="2" borderId="0" xfId="0" applyNumberFormat="1" applyFont="1" applyFill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0" fillId="4" borderId="0" xfId="0" applyFont="1" applyFill="1"/>
    <xf numFmtId="0" fontId="0" fillId="4" borderId="1" xfId="0" applyFont="1" applyFill="1" applyBorder="1"/>
    <xf numFmtId="165" fontId="0" fillId="4" borderId="1" xfId="0" applyNumberFormat="1" applyFont="1" applyFill="1" applyBorder="1"/>
    <xf numFmtId="0" fontId="0" fillId="2" borderId="1" xfId="0" applyFont="1" applyFill="1" applyBorder="1"/>
    <xf numFmtId="165" fontId="0" fillId="2" borderId="1" xfId="0" applyNumberFormat="1" applyFont="1" applyFill="1" applyBorder="1"/>
    <xf numFmtId="0" fontId="1" fillId="4" borderId="0" xfId="0" applyFont="1" applyFill="1"/>
    <xf numFmtId="0" fontId="1" fillId="4" borderId="1" xfId="0" applyFont="1" applyFill="1" applyBorder="1"/>
    <xf numFmtId="166" fontId="1" fillId="4" borderId="1" xfId="0" applyNumberFormat="1" applyFont="1" applyFill="1" applyBorder="1"/>
    <xf numFmtId="0" fontId="1" fillId="2" borderId="1" xfId="0" applyFont="1" applyFill="1" applyBorder="1"/>
    <xf numFmtId="166" fontId="1" fillId="2" borderId="1" xfId="0" applyNumberFormat="1" applyFont="1" applyFill="1" applyBorder="1"/>
    <xf numFmtId="0" fontId="0" fillId="5" borderId="1" xfId="0" applyFont="1" applyFill="1" applyBorder="1"/>
    <xf numFmtId="166" fontId="0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E7ED-EBEC-40BF-9924-D9310E3DD4B9}">
  <dimension ref="B2:P53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10" defaultRowHeight="15" x14ac:dyDescent="0.25"/>
  <cols>
    <col min="1" max="1" width="3.7109375" style="1" customWidth="1"/>
    <col min="2" max="2" width="54" style="1" bestFit="1" customWidth="1"/>
    <col min="3" max="8" width="14.5703125" style="1" bestFit="1" customWidth="1"/>
    <col min="9" max="9" width="13.5703125" style="1" bestFit="1" customWidth="1"/>
    <col min="10" max="10" width="11.5703125" style="1" bestFit="1" customWidth="1"/>
    <col min="11" max="16384" width="11.42578125" style="1"/>
  </cols>
  <sheetData>
    <row r="2" spans="2:16" ht="18.75" x14ac:dyDescent="0.3">
      <c r="B2" s="2" t="s">
        <v>0</v>
      </c>
    </row>
    <row r="3" spans="2:16" x14ac:dyDescent="0.25">
      <c r="B3" s="3" t="s">
        <v>1</v>
      </c>
      <c r="C3" s="4">
        <v>3764.77</v>
      </c>
      <c r="D3" s="4">
        <v>3808.77</v>
      </c>
      <c r="E3" s="4">
        <v>3744.43</v>
      </c>
      <c r="F3" s="4">
        <v>3830.02</v>
      </c>
      <c r="G3" s="4">
        <v>3788.53</v>
      </c>
      <c r="H3" s="4">
        <v>3817.93</v>
      </c>
      <c r="I3" s="4">
        <v>3716.05</v>
      </c>
      <c r="J3" s="4">
        <v>3790.77</v>
      </c>
      <c r="K3" s="4">
        <v>3717.09</v>
      </c>
      <c r="L3" s="4">
        <v>3700.05</v>
      </c>
      <c r="M3" s="4">
        <v>3637.88</v>
      </c>
      <c r="N3" s="4">
        <v>3670.47</v>
      </c>
      <c r="O3" s="4">
        <v>3670.2</v>
      </c>
    </row>
    <row r="4" spans="2:16" x14ac:dyDescent="0.25">
      <c r="I4" s="3" t="s">
        <v>9</v>
      </c>
    </row>
    <row r="5" spans="2:16" x14ac:dyDescent="0.25">
      <c r="B5" s="5" t="s">
        <v>16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</row>
    <row r="6" spans="2:16" x14ac:dyDescent="0.25">
      <c r="B6" s="6"/>
      <c r="C6" s="7">
        <v>45978</v>
      </c>
      <c r="D6" s="7">
        <v>45985</v>
      </c>
      <c r="E6" s="7">
        <v>45992</v>
      </c>
      <c r="F6" s="7">
        <v>45999</v>
      </c>
      <c r="G6" s="7">
        <v>46006</v>
      </c>
      <c r="H6" s="7">
        <v>46013</v>
      </c>
      <c r="I6" s="7">
        <v>46020</v>
      </c>
      <c r="J6" s="7">
        <v>46027</v>
      </c>
      <c r="K6" s="7">
        <v>46034</v>
      </c>
      <c r="L6" s="7">
        <v>46041</v>
      </c>
      <c r="M6" s="7">
        <v>46048</v>
      </c>
      <c r="N6" s="7">
        <v>46055</v>
      </c>
      <c r="O6" s="7">
        <v>46062</v>
      </c>
    </row>
    <row r="8" spans="2:16" x14ac:dyDescent="0.25">
      <c r="B8" s="9" t="s">
        <v>17</v>
      </c>
      <c r="C8" s="10">
        <v>2349081489.8800001</v>
      </c>
      <c r="D8" s="10">
        <v>2325803020.29</v>
      </c>
      <c r="E8" s="10">
        <v>2369688680.9400001</v>
      </c>
      <c r="F8" s="10">
        <v>2320471671.3200002</v>
      </c>
      <c r="G8" s="10">
        <v>2351921547.27</v>
      </c>
      <c r="H8" s="10">
        <v>2338869692.5700002</v>
      </c>
      <c r="I8" s="10">
        <v>2405168017.5999999</v>
      </c>
      <c r="J8" s="10">
        <v>0</v>
      </c>
    </row>
    <row r="9" spans="2:16" x14ac:dyDescent="0.25">
      <c r="B9" s="11" t="s">
        <v>18</v>
      </c>
      <c r="C9" s="12">
        <v>2349081489.8800001</v>
      </c>
      <c r="D9" s="12">
        <v>2325803020.29</v>
      </c>
      <c r="E9" s="12">
        <v>2369688680.9400001</v>
      </c>
      <c r="F9" s="12">
        <v>2320471671.3200002</v>
      </c>
      <c r="G9" s="12">
        <v>2351921547.27</v>
      </c>
      <c r="H9" s="12">
        <v>2338869692.5700002</v>
      </c>
      <c r="I9" s="12">
        <v>2405168017.5999999</v>
      </c>
      <c r="J9" s="12">
        <v>0</v>
      </c>
    </row>
    <row r="10" spans="2:16" x14ac:dyDescent="0.25">
      <c r="B10" s="13" t="s">
        <v>19</v>
      </c>
      <c r="C10" s="8"/>
      <c r="D10" s="8"/>
      <c r="E10" s="8"/>
      <c r="F10" s="8"/>
      <c r="G10" s="8"/>
      <c r="H10" s="8"/>
      <c r="I10" s="8"/>
      <c r="J10" s="8"/>
    </row>
    <row r="11" spans="2:16" x14ac:dyDescent="0.25">
      <c r="B11" s="11" t="s">
        <v>20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</row>
    <row r="12" spans="2:16" x14ac:dyDescent="0.25">
      <c r="B12" s="9" t="s">
        <v>21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</row>
    <row r="13" spans="2:16" x14ac:dyDescent="0.25">
      <c r="B13" s="11" t="s">
        <v>22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</row>
    <row r="14" spans="2:16" x14ac:dyDescent="0.25">
      <c r="B14" s="9" t="s">
        <v>23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</row>
    <row r="15" spans="2:16" x14ac:dyDescent="0.25">
      <c r="B15" s="11" t="s">
        <v>24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</row>
    <row r="16" spans="2:16" x14ac:dyDescent="0.25">
      <c r="B16" s="9" t="s">
        <v>25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</row>
    <row r="17" spans="2:16" x14ac:dyDescent="0.25">
      <c r="B17" s="11" t="s">
        <v>26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</row>
    <row r="18" spans="2:16" x14ac:dyDescent="0.25">
      <c r="B18" s="9" t="s">
        <v>27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</row>
    <row r="19" spans="2:16" x14ac:dyDescent="0.25">
      <c r="B19" s="11" t="s">
        <v>28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</row>
    <row r="20" spans="2:16" x14ac:dyDescent="0.25">
      <c r="B20" s="14" t="s">
        <v>29</v>
      </c>
      <c r="C20" s="15">
        <f>SUM(C11:C19)</f>
        <v>0</v>
      </c>
      <c r="D20" s="15">
        <f>SUM(D11:D19)</f>
        <v>0</v>
      </c>
      <c r="E20" s="15">
        <f>SUM(E11:E19)</f>
        <v>0</v>
      </c>
      <c r="F20" s="15">
        <f>SUM(F11:F19)</f>
        <v>0</v>
      </c>
      <c r="G20" s="15">
        <f>SUM(G11:G19)</f>
        <v>0</v>
      </c>
      <c r="H20" s="15">
        <f>SUM(H11:H19)</f>
        <v>0</v>
      </c>
      <c r="I20" s="15">
        <f>SUM(I11:I19)</f>
        <v>0</v>
      </c>
      <c r="J20" s="15">
        <f>SUM(J11:J19)</f>
        <v>0</v>
      </c>
      <c r="K20" s="15">
        <f>SUM(K11:K19)</f>
        <v>0</v>
      </c>
      <c r="L20" s="15">
        <f>SUM(L11:L19)</f>
        <v>0</v>
      </c>
      <c r="M20" s="15">
        <f>SUM(M11:M19)</f>
        <v>0</v>
      </c>
      <c r="N20" s="15">
        <f>SUM(N11:N19)</f>
        <v>0</v>
      </c>
      <c r="O20" s="15">
        <f>SUM(O11:O19)</f>
        <v>0</v>
      </c>
      <c r="P20" s="15">
        <f>SUM(P11:P19)</f>
        <v>0</v>
      </c>
    </row>
    <row r="21" spans="2:16" x14ac:dyDescent="0.25">
      <c r="B21" s="3" t="s">
        <v>30</v>
      </c>
    </row>
    <row r="22" spans="2:16" x14ac:dyDescent="0.25">
      <c r="B22" s="9" t="s">
        <v>31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</row>
    <row r="23" spans="2:16" x14ac:dyDescent="0.25">
      <c r="B23" s="11" t="s">
        <v>32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</row>
    <row r="24" spans="2:16" x14ac:dyDescent="0.25">
      <c r="B24" s="9" t="s">
        <v>33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</row>
    <row r="25" spans="2:16" x14ac:dyDescent="0.25">
      <c r="B25" s="11" t="s">
        <v>34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</row>
    <row r="26" spans="2:16" x14ac:dyDescent="0.25">
      <c r="B26" s="9" t="s">
        <v>35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</row>
    <row r="27" spans="2:16" x14ac:dyDescent="0.25">
      <c r="B27" s="11" t="s">
        <v>36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</row>
    <row r="28" spans="2:16" x14ac:dyDescent="0.25">
      <c r="B28" s="9" t="s">
        <v>37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</row>
    <row r="29" spans="2:16" x14ac:dyDescent="0.25">
      <c r="B29" s="11" t="s">
        <v>38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</row>
    <row r="30" spans="2:16" x14ac:dyDescent="0.25">
      <c r="B30" s="9" t="s">
        <v>39</v>
      </c>
      <c r="C30" s="10">
        <v>0</v>
      </c>
      <c r="D30" s="10">
        <v>543.89474819999998</v>
      </c>
      <c r="E30" s="10">
        <v>0</v>
      </c>
      <c r="F30" s="10">
        <v>0</v>
      </c>
      <c r="G30" s="10">
        <v>0</v>
      </c>
      <c r="H30" s="10">
        <v>277877.85583030002</v>
      </c>
      <c r="I30" s="10">
        <v>2235838.5686145001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</row>
    <row r="31" spans="2:16" x14ac:dyDescent="0.25">
      <c r="B31" s="11" t="s">
        <v>40</v>
      </c>
      <c r="C31" s="12">
        <v>84872.158559500007</v>
      </c>
      <c r="D31" s="12">
        <v>4196079.3914833004</v>
      </c>
      <c r="E31" s="12">
        <v>162218.94790659999</v>
      </c>
      <c r="F31" s="12">
        <v>116597.7179701</v>
      </c>
      <c r="G31" s="12">
        <v>74490.719901899996</v>
      </c>
      <c r="H31" s="12">
        <v>416.48589679999998</v>
      </c>
      <c r="I31" s="12">
        <v>11659256.502660099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</row>
    <row r="32" spans="2:16" x14ac:dyDescent="0.25">
      <c r="B32" s="9" t="s">
        <v>41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</row>
    <row r="33" spans="2:16" x14ac:dyDescent="0.25">
      <c r="B33" s="11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</row>
    <row r="34" spans="2:16" x14ac:dyDescent="0.25">
      <c r="B34" s="14" t="s">
        <v>43</v>
      </c>
      <c r="C34" s="15">
        <f>SUM(C22:C33)</f>
        <v>84872.158559500007</v>
      </c>
      <c r="D34" s="15">
        <f>SUM(D22:D33)</f>
        <v>4196623.2862315001</v>
      </c>
      <c r="E34" s="15">
        <f>SUM(E22:E33)</f>
        <v>162218.94790659999</v>
      </c>
      <c r="F34" s="15">
        <f>SUM(F22:F33)</f>
        <v>116597.7179701</v>
      </c>
      <c r="G34" s="15">
        <f>SUM(G22:G33)</f>
        <v>74490.719901899996</v>
      </c>
      <c r="H34" s="15">
        <f>SUM(H22:H33)</f>
        <v>278294.34172710002</v>
      </c>
      <c r="I34" s="15">
        <f>SUM(I22:I33)</f>
        <v>13895095.071274599</v>
      </c>
      <c r="J34" s="15">
        <f>SUM(J22:J33)</f>
        <v>0</v>
      </c>
      <c r="K34" s="15">
        <f>SUM(K22:K33)</f>
        <v>0</v>
      </c>
      <c r="L34" s="15">
        <f>SUM(L22:L33)</f>
        <v>0</v>
      </c>
      <c r="M34" s="15">
        <f>SUM(M22:M33)</f>
        <v>0</v>
      </c>
      <c r="N34" s="15">
        <f>SUM(N22:N33)</f>
        <v>0</v>
      </c>
      <c r="O34" s="15">
        <f>SUM(O22:O33)</f>
        <v>0</v>
      </c>
      <c r="P34" s="15">
        <f>SUM(P22:P33)</f>
        <v>0</v>
      </c>
    </row>
    <row r="35" spans="2:16" x14ac:dyDescent="0.25">
      <c r="B35" s="3" t="s">
        <v>44</v>
      </c>
    </row>
    <row r="36" spans="2:16" x14ac:dyDescent="0.25">
      <c r="B36" s="9" t="s">
        <v>45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</row>
    <row r="37" spans="2:16" x14ac:dyDescent="0.25">
      <c r="B37" s="11" t="s">
        <v>46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</row>
    <row r="38" spans="2:16" x14ac:dyDescent="0.25">
      <c r="B38" s="9" t="s">
        <v>47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</row>
    <row r="39" spans="2:16" x14ac:dyDescent="0.25">
      <c r="B39" s="11" t="s">
        <v>48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</row>
    <row r="40" spans="2:16" x14ac:dyDescent="0.25">
      <c r="B40" s="9" t="s">
        <v>49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</row>
    <row r="41" spans="2:16" x14ac:dyDescent="0.25">
      <c r="B41" s="11" t="s">
        <v>50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</row>
    <row r="42" spans="2:16" x14ac:dyDescent="0.25">
      <c r="B42" s="9" t="s">
        <v>51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</row>
    <row r="43" spans="2:16" x14ac:dyDescent="0.25">
      <c r="B43" s="16" t="s">
        <v>52</v>
      </c>
      <c r="C43" s="17">
        <f>SUM(C36:C42)</f>
        <v>0</v>
      </c>
      <c r="D43" s="17">
        <f>SUM(D36:D42)</f>
        <v>0</v>
      </c>
      <c r="E43" s="17">
        <f>SUM(E36:E42)</f>
        <v>0</v>
      </c>
      <c r="F43" s="17">
        <f>SUM(F36:F42)</f>
        <v>0</v>
      </c>
      <c r="G43" s="17">
        <f>SUM(G36:G42)</f>
        <v>0</v>
      </c>
      <c r="H43" s="17">
        <f>SUM(H36:H42)</f>
        <v>0</v>
      </c>
      <c r="I43" s="17">
        <f>SUM(I36:I42)</f>
        <v>0</v>
      </c>
      <c r="J43" s="17">
        <f>SUM(J36:J42)</f>
        <v>0</v>
      </c>
      <c r="K43" s="17">
        <f>SUM(K36:K42)</f>
        <v>0</v>
      </c>
      <c r="L43" s="17">
        <f>SUM(L36:L42)</f>
        <v>0</v>
      </c>
      <c r="M43" s="17">
        <f>SUM(M36:M42)</f>
        <v>0</v>
      </c>
      <c r="N43" s="17">
        <f>SUM(N36:N42)</f>
        <v>0</v>
      </c>
      <c r="O43" s="17">
        <f>SUM(O36:O42)</f>
        <v>0</v>
      </c>
      <c r="P43" s="17">
        <f>SUM(P36:P42)</f>
        <v>0</v>
      </c>
    </row>
    <row r="44" spans="2:16" x14ac:dyDescent="0.25">
      <c r="B44" s="14" t="s">
        <v>53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</row>
    <row r="47" spans="2:16" x14ac:dyDescent="0.25">
      <c r="B47" s="18" t="s">
        <v>54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</row>
    <row r="48" spans="2:16" x14ac:dyDescent="0.25">
      <c r="B48" s="18" t="s">
        <v>55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</row>
    <row r="49" spans="2:16" x14ac:dyDescent="0.25">
      <c r="B49" s="18" t="s">
        <v>56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</row>
    <row r="50" spans="2:16" x14ac:dyDescent="0.25">
      <c r="B50" s="18" t="s">
        <v>18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</row>
    <row r="51" spans="2:16" x14ac:dyDescent="0.25">
      <c r="B51" s="18" t="s">
        <v>57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</row>
    <row r="52" spans="2:16" x14ac:dyDescent="0.25">
      <c r="B52" s="18" t="s">
        <v>58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</row>
    <row r="53" spans="2:16" x14ac:dyDescent="0.25">
      <c r="B53" s="18" t="s">
        <v>59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EA38-4ADC-4157-A569-6D46D0DDDF64}">
  <dimension ref="B2:P53"/>
  <sheetViews>
    <sheetView showGridLines="0"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10" defaultRowHeight="15" x14ac:dyDescent="0.25"/>
  <cols>
    <col min="1" max="1" width="3.7109375" style="1" customWidth="1"/>
    <col min="2" max="2" width="54" style="1" bestFit="1" customWidth="1"/>
    <col min="3" max="7" width="17.7109375" style="1" bestFit="1" customWidth="1"/>
    <col min="8" max="8" width="16.7109375" style="1" bestFit="1" customWidth="1"/>
    <col min="9" max="9" width="17.7109375" style="1" bestFit="1" customWidth="1"/>
    <col min="10" max="10" width="11.5703125" style="1" bestFit="1" customWidth="1"/>
    <col min="11" max="16384" width="11.42578125" style="1"/>
  </cols>
  <sheetData>
    <row r="2" spans="2:16" ht="18.75" x14ac:dyDescent="0.3">
      <c r="B2" s="2" t="s">
        <v>0</v>
      </c>
    </row>
    <row r="4" spans="2:16" x14ac:dyDescent="0.25">
      <c r="I4" s="3" t="s">
        <v>9</v>
      </c>
    </row>
    <row r="5" spans="2:16" x14ac:dyDescent="0.25">
      <c r="B5" s="5" t="s">
        <v>16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</row>
    <row r="6" spans="2:16" x14ac:dyDescent="0.25">
      <c r="B6" s="6"/>
      <c r="C6" s="7">
        <v>45978</v>
      </c>
      <c r="D6" s="7">
        <v>45985</v>
      </c>
      <c r="E6" s="7">
        <v>45992</v>
      </c>
      <c r="F6" s="7">
        <v>45999</v>
      </c>
      <c r="G6" s="7">
        <v>46006</v>
      </c>
      <c r="H6" s="7">
        <v>46013</v>
      </c>
      <c r="I6" s="7">
        <v>46020</v>
      </c>
      <c r="J6" s="7">
        <v>46027</v>
      </c>
      <c r="K6" s="7">
        <v>46034</v>
      </c>
      <c r="L6" s="7">
        <v>46041</v>
      </c>
      <c r="M6" s="7">
        <v>46048</v>
      </c>
      <c r="N6" s="7">
        <v>46055</v>
      </c>
      <c r="O6" s="7">
        <v>46062</v>
      </c>
    </row>
    <row r="8" spans="2:16" x14ac:dyDescent="0.25">
      <c r="B8" s="9" t="s">
        <v>17</v>
      </c>
      <c r="C8" s="10">
        <v>8843751520650.0391</v>
      </c>
      <c r="D8" s="10">
        <v>8858448769575.2598</v>
      </c>
      <c r="E8" s="10">
        <v>8873133387584.5898</v>
      </c>
      <c r="F8" s="10">
        <v>8887452910586.0898</v>
      </c>
      <c r="G8" s="10">
        <v>8910325339485.3203</v>
      </c>
      <c r="H8" s="10">
        <v>8929640765364.8008</v>
      </c>
      <c r="I8" s="10">
        <v>8937724611810.6094</v>
      </c>
      <c r="J8" s="10">
        <v>0</v>
      </c>
    </row>
    <row r="9" spans="2:16" x14ac:dyDescent="0.25">
      <c r="B9" s="11" t="s">
        <v>18</v>
      </c>
      <c r="C9" s="12">
        <v>8843751520650.0391</v>
      </c>
      <c r="D9" s="12">
        <v>8858448769575.2598</v>
      </c>
      <c r="E9" s="12">
        <v>8873133387584.5898</v>
      </c>
      <c r="F9" s="12">
        <v>8887452910586.0898</v>
      </c>
      <c r="G9" s="12">
        <v>8910325339485.3203</v>
      </c>
      <c r="H9" s="12">
        <v>8929640765364.8008</v>
      </c>
      <c r="I9" s="12">
        <v>8937724611810.6094</v>
      </c>
      <c r="J9" s="12">
        <v>0</v>
      </c>
    </row>
    <row r="10" spans="2:16" x14ac:dyDescent="0.25">
      <c r="B10" s="13" t="s">
        <v>19</v>
      </c>
      <c r="C10" s="8"/>
      <c r="D10" s="8"/>
      <c r="E10" s="8"/>
      <c r="F10" s="8"/>
      <c r="G10" s="8"/>
      <c r="H10" s="8"/>
      <c r="I10" s="8"/>
      <c r="J10" s="8"/>
    </row>
    <row r="11" spans="2:16" x14ac:dyDescent="0.25">
      <c r="B11" s="11" t="s">
        <v>20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</row>
    <row r="12" spans="2:16" x14ac:dyDescent="0.25">
      <c r="B12" s="9" t="s">
        <v>21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</row>
    <row r="13" spans="2:16" x14ac:dyDescent="0.25">
      <c r="B13" s="11" t="s">
        <v>22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</row>
    <row r="14" spans="2:16" x14ac:dyDescent="0.25">
      <c r="B14" s="9" t="s">
        <v>23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</row>
    <row r="15" spans="2:16" x14ac:dyDescent="0.25">
      <c r="B15" s="11" t="s">
        <v>24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</row>
    <row r="16" spans="2:16" x14ac:dyDescent="0.25">
      <c r="B16" s="9" t="s">
        <v>25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</row>
    <row r="17" spans="2:16" x14ac:dyDescent="0.25">
      <c r="B17" s="11" t="s">
        <v>26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</row>
    <row r="18" spans="2:16" x14ac:dyDescent="0.25">
      <c r="B18" s="9" t="s">
        <v>27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</row>
    <row r="19" spans="2:16" x14ac:dyDescent="0.25">
      <c r="B19" s="11" t="s">
        <v>28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</row>
    <row r="20" spans="2:16" x14ac:dyDescent="0.25">
      <c r="B20" s="14" t="s">
        <v>29</v>
      </c>
      <c r="C20" s="15">
        <f>SUM(C11:C19)</f>
        <v>0</v>
      </c>
      <c r="D20" s="15">
        <f>SUM(D11:D19)</f>
        <v>0</v>
      </c>
      <c r="E20" s="15">
        <f>SUM(E11:E19)</f>
        <v>0</v>
      </c>
      <c r="F20" s="15">
        <f>SUM(F11:F19)</f>
        <v>0</v>
      </c>
      <c r="G20" s="15">
        <f>SUM(G11:G19)</f>
        <v>0</v>
      </c>
      <c r="H20" s="15">
        <f>SUM(H11:H19)</f>
        <v>0</v>
      </c>
      <c r="I20" s="15">
        <f>SUM(I11:I19)</f>
        <v>0</v>
      </c>
      <c r="J20" s="15">
        <f>SUM(J11:J19)</f>
        <v>0</v>
      </c>
      <c r="K20" s="15">
        <f>SUM(K11:K19)</f>
        <v>0</v>
      </c>
      <c r="L20" s="15">
        <f>SUM(L11:L19)</f>
        <v>0</v>
      </c>
      <c r="M20" s="15">
        <f>SUM(M11:M19)</f>
        <v>0</v>
      </c>
      <c r="N20" s="15">
        <f>SUM(N11:N19)</f>
        <v>0</v>
      </c>
      <c r="O20" s="15">
        <f>SUM(O11:O19)</f>
        <v>0</v>
      </c>
      <c r="P20" s="15">
        <f>SUM(P11:P19)</f>
        <v>0</v>
      </c>
    </row>
    <row r="21" spans="2:16" x14ac:dyDescent="0.25">
      <c r="B21" s="3" t="s">
        <v>30</v>
      </c>
    </row>
    <row r="22" spans="2:16" x14ac:dyDescent="0.25">
      <c r="B22" s="9" t="s">
        <v>31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</row>
    <row r="23" spans="2:16" x14ac:dyDescent="0.25">
      <c r="B23" s="11" t="s">
        <v>32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</row>
    <row r="24" spans="2:16" x14ac:dyDescent="0.25">
      <c r="B24" s="9" t="s">
        <v>33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</row>
    <row r="25" spans="2:16" x14ac:dyDescent="0.25">
      <c r="B25" s="11" t="s">
        <v>34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</row>
    <row r="26" spans="2:16" x14ac:dyDescent="0.25">
      <c r="B26" s="9" t="s">
        <v>35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</row>
    <row r="27" spans="2:16" x14ac:dyDescent="0.25">
      <c r="B27" s="11" t="s">
        <v>36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</row>
    <row r="28" spans="2:16" x14ac:dyDescent="0.25">
      <c r="B28" s="9" t="s">
        <v>37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</row>
    <row r="29" spans="2:16" x14ac:dyDescent="0.25">
      <c r="B29" s="11" t="s">
        <v>38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</row>
    <row r="30" spans="2:16" x14ac:dyDescent="0.25">
      <c r="B30" s="9" t="s">
        <v>39</v>
      </c>
      <c r="C30" s="10">
        <v>0</v>
      </c>
      <c r="D30" s="10">
        <v>2071570</v>
      </c>
      <c r="E30" s="10">
        <v>0</v>
      </c>
      <c r="F30" s="10">
        <v>0</v>
      </c>
      <c r="G30" s="10">
        <v>0</v>
      </c>
      <c r="H30" s="10">
        <v>1060918202.11</v>
      </c>
      <c r="I30" s="10">
        <v>8308487912.8999996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</row>
    <row r="31" spans="2:16" x14ac:dyDescent="0.25">
      <c r="B31" s="11" t="s">
        <v>40</v>
      </c>
      <c r="C31" s="12">
        <v>319524156.38</v>
      </c>
      <c r="D31" s="12">
        <v>15981901303.9</v>
      </c>
      <c r="E31" s="12">
        <v>607417495.11000001</v>
      </c>
      <c r="F31" s="12">
        <v>446571591.77999997</v>
      </c>
      <c r="G31" s="12">
        <v>282210327.06999999</v>
      </c>
      <c r="H31" s="12">
        <v>1590114</v>
      </c>
      <c r="I31" s="12">
        <v>43326380126.710007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</row>
    <row r="32" spans="2:16" x14ac:dyDescent="0.25">
      <c r="B32" s="9" t="s">
        <v>41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</row>
    <row r="33" spans="2:16" x14ac:dyDescent="0.25">
      <c r="B33" s="11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</row>
    <row r="34" spans="2:16" x14ac:dyDescent="0.25">
      <c r="B34" s="14" t="s">
        <v>43</v>
      </c>
      <c r="C34" s="15">
        <f>SUM(C22:C33)</f>
        <v>319524156.38</v>
      </c>
      <c r="D34" s="15">
        <f>SUM(D22:D33)</f>
        <v>15983972873.9</v>
      </c>
      <c r="E34" s="15">
        <f>SUM(E22:E33)</f>
        <v>607417495.11000001</v>
      </c>
      <c r="F34" s="15">
        <f>SUM(F22:F33)</f>
        <v>446571591.77999997</v>
      </c>
      <c r="G34" s="15">
        <f>SUM(G22:G33)</f>
        <v>282210327.06999999</v>
      </c>
      <c r="H34" s="15">
        <f>SUM(H22:H33)</f>
        <v>1062508316.11</v>
      </c>
      <c r="I34" s="15">
        <f>SUM(I22:I33)</f>
        <v>51634868039.610008</v>
      </c>
      <c r="J34" s="15">
        <f>SUM(J22:J33)</f>
        <v>0</v>
      </c>
      <c r="K34" s="15">
        <f>SUM(K22:K33)</f>
        <v>0</v>
      </c>
      <c r="L34" s="15">
        <f>SUM(L22:L33)</f>
        <v>0</v>
      </c>
      <c r="M34" s="15">
        <f>SUM(M22:M33)</f>
        <v>0</v>
      </c>
      <c r="N34" s="15">
        <f>SUM(N22:N33)</f>
        <v>0</v>
      </c>
      <c r="O34" s="15">
        <f>SUM(O22:O33)</f>
        <v>0</v>
      </c>
      <c r="P34" s="15">
        <f>SUM(P22:P33)</f>
        <v>0</v>
      </c>
    </row>
    <row r="35" spans="2:16" x14ac:dyDescent="0.25">
      <c r="B35" s="3" t="s">
        <v>44</v>
      </c>
    </row>
    <row r="36" spans="2:16" x14ac:dyDescent="0.25">
      <c r="B36" s="9" t="s">
        <v>45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</row>
    <row r="37" spans="2:16" x14ac:dyDescent="0.25">
      <c r="B37" s="11" t="s">
        <v>46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</row>
    <row r="38" spans="2:16" x14ac:dyDescent="0.25">
      <c r="B38" s="9" t="s">
        <v>47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</row>
    <row r="39" spans="2:16" x14ac:dyDescent="0.25">
      <c r="B39" s="11" t="s">
        <v>48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</row>
    <row r="40" spans="2:16" x14ac:dyDescent="0.25">
      <c r="B40" s="9" t="s">
        <v>49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</row>
    <row r="41" spans="2:16" x14ac:dyDescent="0.25">
      <c r="B41" s="11" t="s">
        <v>50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</row>
    <row r="42" spans="2:16" x14ac:dyDescent="0.25">
      <c r="B42" s="9" t="s">
        <v>51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</row>
    <row r="43" spans="2:16" x14ac:dyDescent="0.25">
      <c r="B43" s="16" t="s">
        <v>52</v>
      </c>
      <c r="C43" s="17">
        <f>SUM(C36:C42)</f>
        <v>0</v>
      </c>
      <c r="D43" s="17">
        <f>SUM(D36:D42)</f>
        <v>0</v>
      </c>
      <c r="E43" s="17">
        <f>SUM(E36:E42)</f>
        <v>0</v>
      </c>
      <c r="F43" s="17">
        <f>SUM(F36:F42)</f>
        <v>0</v>
      </c>
      <c r="G43" s="17">
        <f>SUM(G36:G42)</f>
        <v>0</v>
      </c>
      <c r="H43" s="17">
        <f>SUM(H36:H42)</f>
        <v>0</v>
      </c>
      <c r="I43" s="17">
        <f>SUM(I36:I42)</f>
        <v>0</v>
      </c>
      <c r="J43" s="17">
        <f>SUM(J36:J42)</f>
        <v>0</v>
      </c>
      <c r="K43" s="17">
        <f>SUM(K36:K42)</f>
        <v>0</v>
      </c>
      <c r="L43" s="17">
        <f>SUM(L36:L42)</f>
        <v>0</v>
      </c>
      <c r="M43" s="17">
        <f>SUM(M36:M42)</f>
        <v>0</v>
      </c>
      <c r="N43" s="17">
        <f>SUM(N36:N42)</f>
        <v>0</v>
      </c>
      <c r="O43" s="17">
        <f>SUM(O36:O42)</f>
        <v>0</v>
      </c>
      <c r="P43" s="17">
        <f>SUM(P36:P42)</f>
        <v>0</v>
      </c>
    </row>
    <row r="44" spans="2:16" x14ac:dyDescent="0.25">
      <c r="B44" s="14" t="s">
        <v>53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</row>
    <row r="47" spans="2:16" x14ac:dyDescent="0.25">
      <c r="B47" s="18" t="s">
        <v>54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</row>
    <row r="48" spans="2:16" x14ac:dyDescent="0.25">
      <c r="B48" s="18" t="s">
        <v>55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</row>
    <row r="49" spans="2:16" x14ac:dyDescent="0.25">
      <c r="B49" s="18" t="s">
        <v>56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</row>
    <row r="50" spans="2:16" x14ac:dyDescent="0.25">
      <c r="B50" s="18" t="s">
        <v>18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</row>
    <row r="51" spans="2:16" x14ac:dyDescent="0.25">
      <c r="B51" s="18" t="s">
        <v>57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</row>
    <row r="52" spans="2:16" x14ac:dyDescent="0.25">
      <c r="B52" s="18" t="s">
        <v>58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</row>
    <row r="53" spans="2:16" x14ac:dyDescent="0.25">
      <c r="B53" s="18" t="s">
        <v>59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CF I Q-AJUSTADO USD</vt:lpstr>
      <vt:lpstr>CF I Q-AJUSTADO COP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2026-03-26T17:57:46Z</dcterms:created>
  <dcterms:modified xsi:type="dcterms:W3CDTF">2026-03-26T17:58:19Z</dcterms:modified>
</cp:coreProperties>
</file>