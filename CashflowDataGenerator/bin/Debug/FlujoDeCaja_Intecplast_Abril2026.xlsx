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COLASD\PERSONAL\CC SISTEMAS\OFIMATICA\INTECPLAST\CashFlowManager\CashflowDataGenerator\bin\Debug\"/>
    </mc:Choice>
  </mc:AlternateContent>
  <xr:revisionPtr revIDLastSave="0" documentId="8_{535A6021-7509-413C-A1BF-0938FDD406EC}" xr6:coauthVersionLast="47" xr6:coauthVersionMax="47" xr10:uidLastSave="{00000000-0000-0000-0000-000000000000}"/>
  <bookViews>
    <workbookView xWindow="-120" yWindow="-120" windowWidth="29040" windowHeight="15720" xr2:uid="{8697A813-106A-4D9C-A4FA-BAEFF7FB1DB3}"/>
  </bookViews>
  <sheets>
    <sheet name="CF I Q-AJUSTADO USD" sheetId="1" r:id="rId1"/>
    <sheet name="CF I Q-AJUSTADO CO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44" i="2" l="1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</calcChain>
</file>

<file path=xl/sharedStrings.xml><?xml version="1.0" encoding="utf-8"?>
<sst xmlns="http://schemas.openxmlformats.org/spreadsheetml/2006/main" count="123" uniqueCount="61">
  <si>
    <t>Flujo de Caja Abril 2026 - Intecplast SAS</t>
  </si>
  <si>
    <t>TRM</t>
  </si>
  <si>
    <t>SEMANA 9</t>
  </si>
  <si>
    <t>SEMANA 10</t>
  </si>
  <si>
    <t>SEMANA 11</t>
  </si>
  <si>
    <t>SEMANA 12</t>
  </si>
  <si>
    <t>SEMANA 13</t>
  </si>
  <si>
    <t>SEMANA 14</t>
  </si>
  <si>
    <t>SEMANA 15</t>
  </si>
  <si>
    <t>ACTUAL</t>
  </si>
  <si>
    <t>SEMANA 16</t>
  </si>
  <si>
    <t>SEMANA 17</t>
  </si>
  <si>
    <t>SEMANA 18</t>
  </si>
  <si>
    <t>SEMANA 19</t>
  </si>
  <si>
    <t>SEMANA 20</t>
  </si>
  <si>
    <t>SEMANA 21</t>
  </si>
  <si>
    <t>PERIODO</t>
  </si>
  <si>
    <t>Saldo inicial COP</t>
  </si>
  <si>
    <t>Saldo inicial USD</t>
  </si>
  <si>
    <t>Disponible Bancos</t>
  </si>
  <si>
    <t>Ingresos</t>
  </si>
  <si>
    <t>Proyeccion Ventas Carvajal</t>
  </si>
  <si>
    <t>Clientes Nacionales</t>
  </si>
  <si>
    <t>Clientes Nacionales Carvajal</t>
  </si>
  <si>
    <t>Clientes del Exterior</t>
  </si>
  <si>
    <t>Reverse Factoring</t>
  </si>
  <si>
    <t>Prestamo Pieriplast</t>
  </si>
  <si>
    <t>Otros Ingresos</t>
  </si>
  <si>
    <t>Utilizacion Fiducia Impuesto al Plastico</t>
  </si>
  <si>
    <t>Monetizaciones - Usd a Cop</t>
  </si>
  <si>
    <t>Total ingresos</t>
  </si>
  <si>
    <t>Egresos</t>
  </si>
  <si>
    <t>Pago a Proveedores - Nacionales</t>
  </si>
  <si>
    <t>Pago Mano de Obra Terceros</t>
  </si>
  <si>
    <t>Pago a Proveedores - Exterior</t>
  </si>
  <si>
    <t>Pago Exportaciones</t>
  </si>
  <si>
    <t>Pago Nacionalizaciones Tariff from import</t>
  </si>
  <si>
    <t>Pago OC - OS Prepay</t>
  </si>
  <si>
    <t>Pago Moldes</t>
  </si>
  <si>
    <t>Pago de Facturas Negociables Proveedores Ext</t>
  </si>
  <si>
    <t>Pago al Personal</t>
  </si>
  <si>
    <t>Pago de Impuestos</t>
  </si>
  <si>
    <t>Pago de Servicios</t>
  </si>
  <si>
    <t>Pago Arriendos</t>
  </si>
  <si>
    <t>Total egresos</t>
  </si>
  <si>
    <t>Flujo Economico</t>
  </si>
  <si>
    <t>Prestamos Corto Plazo</t>
  </si>
  <si>
    <t>Retención Cuota Trimestral - Sindicado LT</t>
  </si>
  <si>
    <t>Tarjetas de Crédito</t>
  </si>
  <si>
    <t>Leasing Financiero</t>
  </si>
  <si>
    <t>Confirming Factoring with vendors</t>
  </si>
  <si>
    <t>Intereses Créditos</t>
  </si>
  <si>
    <t>Retoma Créditos</t>
  </si>
  <si>
    <t>Total Financiamiento</t>
  </si>
  <si>
    <t>Flujo de Caja Financiero</t>
  </si>
  <si>
    <t>PA Credicorp - Caja Retenida Reserva Credito (83237)</t>
  </si>
  <si>
    <t>PA Credicorp - Caja Retenida Pago Cuota Trimestral (83238)</t>
  </si>
  <si>
    <t>FIC Credicorp - Provision Impuesto al Plastico</t>
  </si>
  <si>
    <t>TOTAL 30 NOV 2025</t>
  </si>
  <si>
    <t>TOTAL CONTABILIDAD</t>
  </si>
  <si>
    <t>DIFERENCIA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</si>
</sst>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D7D3D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ont="1" applyFill="1"/>
    <xf numFmtId="0" fontId="2" fillId="2" borderId="0" xfId="0" applyFont="1" applyFill="1"/>
    <xf numFmtId="0" fontId="1" fillId="2" borderId="0" xfId="0" applyFont="1" applyFill="1"/>
    <xf numFmtId="4" fontId="0" fillId="2" borderId="0" xfId="0" applyNumberFormat="1" applyFont="1" applyFill="1"/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0" fillId="4" borderId="0" xfId="0" applyFont="1" applyFill="1"/>
    <xf numFmtId="0" fontId="0" fillId="4" borderId="1" xfId="0" applyFont="1" applyFill="1" applyBorder="1"/>
    <xf numFmtId="3" fontId="0" fillId="4" borderId="1" xfId="0" applyNumberFormat="1" applyFont="1" applyFill="1" applyBorder="1"/>
    <xf numFmtId="0" fontId="0" fillId="2" borderId="1" xfId="0" applyFont="1" applyFill="1" applyBorder="1"/>
    <xf numFmtId="3" fontId="0" fillId="2" borderId="1" xfId="0" applyNumberFormat="1" applyFont="1" applyFill="1" applyBorder="1"/>
    <xf numFmtId="0" fontId="1" fillId="2" borderId="1" xfId="0" applyFont="1" applyFill="1" applyBorder="1"/>
    <xf numFmtId="3" fontId="1" fillId="2" borderId="1" xfId="0" applyNumberFormat="1" applyFont="1" applyFill="1" applyBorder="1"/>
    <xf numFmtId="0" fontId="1" fillId="4" borderId="0" xfId="0" applyFont="1" applyFill="1"/>
    <xf numFmtId="0" fontId="1" fillId="4" borderId="1" xfId="0" applyFont="1" applyFill="1" applyBorder="1"/>
    <xf numFmtId="3" fontId="1" fillId="4" borderId="1" xfId="0" applyNumberFormat="1" applyFont="1" applyFill="1" applyBorder="1"/>
    <xf numFmtId="0" fontId="0" fillId="5" borderId="1" xfId="0" applyFont="1" applyFill="1" applyBorder="1"/>
    <xf numFmtId="3" fontId="0" fillId="5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768FB-D6F8-46DA-A35B-689A719F1BB3}">
  <dimension ref="B2:W54"/>
  <sheetViews>
    <sheetView showGridLines="0"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RowHeight="15" x14ac:dyDescent="0.25"/>
  <cols>
    <col min="1" max="1" width="3.7109375" style="1" customWidth="1"/>
    <col min="2" max="2" width="53.85546875" style="1" bestFit="1" customWidth="1"/>
    <col min="3" max="15" width="12.7109375" style="1" bestFit="1" customWidth="1"/>
    <col min="16" max="16" width="11.5703125" style="1" bestFit="1" customWidth="1"/>
    <col min="17" max="16384" width="11.42578125" style="1"/>
  </cols>
  <sheetData>
    <row r="2" spans="2:23" ht="18.75" x14ac:dyDescent="0.3">
      <c r="B2" s="2" t="s">
        <v>0</v>
      </c>
    </row>
    <row r="3" spans="2:23" x14ac:dyDescent="0.25">
      <c r="B3" s="3" t="s">
        <v>1</v>
      </c>
      <c r="C3" s="4">
        <v>3691.34</v>
      </c>
      <c r="D3" s="4">
        <v>3766.3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2:23" x14ac:dyDescent="0.25">
      <c r="I4" s="3" t="s">
        <v>9</v>
      </c>
    </row>
    <row r="5" spans="2:23" x14ac:dyDescent="0.25">
      <c r="B5" s="5" t="s">
        <v>16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2:23" x14ac:dyDescent="0.25">
      <c r="B6" s="6"/>
      <c r="C6" s="7">
        <v>46076</v>
      </c>
      <c r="D6" s="7">
        <v>46083</v>
      </c>
      <c r="E6" s="7">
        <v>46090</v>
      </c>
      <c r="F6" s="7">
        <v>46097</v>
      </c>
      <c r="G6" s="7">
        <v>46104</v>
      </c>
      <c r="H6" s="7">
        <v>46111</v>
      </c>
      <c r="I6" s="7">
        <v>46118</v>
      </c>
      <c r="J6" s="7">
        <v>46125</v>
      </c>
      <c r="K6" s="7">
        <v>46132</v>
      </c>
      <c r="L6" s="7">
        <v>46139</v>
      </c>
      <c r="M6" s="7">
        <v>46146</v>
      </c>
      <c r="N6" s="7">
        <v>46153</v>
      </c>
      <c r="O6" s="7">
        <v>46160</v>
      </c>
    </row>
    <row r="8" spans="2:23" x14ac:dyDescent="0.25">
      <c r="B8" s="9" t="s">
        <v>17</v>
      </c>
      <c r="C8" s="10">
        <v>2453291492.8800001</v>
      </c>
      <c r="D8" s="10">
        <v>2408920162.1799998</v>
      </c>
      <c r="E8" s="10">
        <v>2407366939.7399998</v>
      </c>
      <c r="F8" s="10">
        <v>2407366939.7399998</v>
      </c>
      <c r="G8" s="10">
        <v>2407366939.7399998</v>
      </c>
      <c r="H8" s="10">
        <v>2407366939.7399998</v>
      </c>
      <c r="I8" s="10">
        <v>2407366939.7399998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2:23" x14ac:dyDescent="0.25">
      <c r="B9" s="11" t="s">
        <v>18</v>
      </c>
      <c r="C9" s="12">
        <v>720352722.61000001</v>
      </c>
      <c r="D9" s="12">
        <v>720921227.59000003</v>
      </c>
      <c r="E9" s="12">
        <v>720921227.59000003</v>
      </c>
      <c r="F9" s="12">
        <v>720921227.59000003</v>
      </c>
      <c r="G9" s="12">
        <v>720921227.59000003</v>
      </c>
      <c r="H9" s="12">
        <v>720921227.59000003</v>
      </c>
      <c r="I9" s="12">
        <v>720921227.59000003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</row>
    <row r="10" spans="2:23" x14ac:dyDescent="0.25">
      <c r="B10" s="9" t="s">
        <v>19</v>
      </c>
      <c r="C10" s="10">
        <v>3173644215.4899998</v>
      </c>
      <c r="D10" s="10">
        <v>3129841389.77</v>
      </c>
      <c r="E10" s="10">
        <v>3128288167.3299999</v>
      </c>
      <c r="F10" s="10">
        <v>3128288167.3299999</v>
      </c>
      <c r="G10" s="10">
        <v>3128288167.3299999</v>
      </c>
      <c r="H10" s="10">
        <v>3128288167.3299999</v>
      </c>
      <c r="I10" s="10">
        <v>3128288167.3299999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</row>
    <row r="11" spans="2:23" x14ac:dyDescent="0.25">
      <c r="B11" s="3" t="s">
        <v>20</v>
      </c>
    </row>
    <row r="12" spans="2:23" x14ac:dyDescent="0.25">
      <c r="B12" s="9" t="s">
        <v>21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/>
      <c r="R12" s="10"/>
      <c r="S12" s="10"/>
      <c r="T12" s="10"/>
      <c r="U12" s="10"/>
      <c r="V12" s="10"/>
      <c r="W12" s="10"/>
    </row>
    <row r="13" spans="2:23" x14ac:dyDescent="0.25">
      <c r="B13" s="11" t="s">
        <v>22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/>
      <c r="R13" s="12"/>
      <c r="S13" s="12"/>
      <c r="T13" s="12"/>
      <c r="U13" s="12"/>
      <c r="V13" s="12"/>
      <c r="W13" s="12"/>
    </row>
    <row r="14" spans="2:23" x14ac:dyDescent="0.25">
      <c r="B14" s="9" t="s">
        <v>23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/>
      <c r="R14" s="10"/>
      <c r="S14" s="10"/>
      <c r="T14" s="10"/>
      <c r="U14" s="10"/>
      <c r="V14" s="10"/>
      <c r="W14" s="10"/>
    </row>
    <row r="15" spans="2:23" x14ac:dyDescent="0.25">
      <c r="B15" s="11" t="s">
        <v>24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618.26835440000002</v>
      </c>
      <c r="L15" s="12">
        <v>0</v>
      </c>
      <c r="M15" s="12">
        <v>0</v>
      </c>
      <c r="N15" s="12">
        <v>28855.021764100002</v>
      </c>
      <c r="O15" s="12">
        <v>125815.00186049999</v>
      </c>
      <c r="P15" s="12">
        <v>65193.015971000001</v>
      </c>
      <c r="Q15" s="12">
        <v>353811.58425399999</v>
      </c>
      <c r="R15" s="12">
        <v>178174.37213629999</v>
      </c>
      <c r="S15" s="12">
        <v>18970.809437</v>
      </c>
      <c r="T15" s="12">
        <v>282929.42717739998</v>
      </c>
      <c r="U15" s="12">
        <v>119346.9702526</v>
      </c>
      <c r="V15" s="12">
        <v>40869.291017099997</v>
      </c>
      <c r="W15" s="12"/>
    </row>
    <row r="16" spans="2:23" x14ac:dyDescent="0.25">
      <c r="B16" s="9" t="s">
        <v>25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/>
      <c r="R16" s="10"/>
      <c r="S16" s="10"/>
      <c r="T16" s="10"/>
      <c r="U16" s="10"/>
      <c r="V16" s="10"/>
      <c r="W16" s="10"/>
    </row>
    <row r="17" spans="2:23" x14ac:dyDescent="0.25">
      <c r="B17" s="11" t="s">
        <v>26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/>
      <c r="R17" s="12"/>
      <c r="S17" s="12"/>
      <c r="T17" s="12"/>
      <c r="U17" s="12"/>
      <c r="V17" s="12"/>
      <c r="W17" s="12"/>
    </row>
    <row r="18" spans="2:23" x14ac:dyDescent="0.25">
      <c r="B18" s="9" t="s">
        <v>27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/>
      <c r="R18" s="10"/>
      <c r="S18" s="10"/>
      <c r="T18" s="10"/>
      <c r="U18" s="10"/>
      <c r="V18" s="10"/>
      <c r="W18" s="10"/>
    </row>
    <row r="19" spans="2:23" x14ac:dyDescent="0.25">
      <c r="B19" s="11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/>
      <c r="R19" s="12"/>
      <c r="S19" s="12"/>
      <c r="T19" s="12"/>
      <c r="U19" s="12"/>
      <c r="V19" s="12"/>
      <c r="W19" s="12"/>
    </row>
    <row r="20" spans="2:23" x14ac:dyDescent="0.25">
      <c r="B20" s="9" t="s">
        <v>29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/>
      <c r="R20" s="10"/>
      <c r="S20" s="10"/>
      <c r="T20" s="10"/>
      <c r="U20" s="10"/>
      <c r="V20" s="10"/>
      <c r="W20" s="10"/>
    </row>
    <row r="21" spans="2:23" x14ac:dyDescent="0.25">
      <c r="B21" s="13" t="s">
        <v>30</v>
      </c>
      <c r="C21" s="14">
        <f>SUM(C12:C20)</f>
        <v>0</v>
      </c>
      <c r="D21" s="14">
        <f>SUM(D12:D20)</f>
        <v>0</v>
      </c>
      <c r="E21" s="14">
        <f>SUM(E12:E20)</f>
        <v>0</v>
      </c>
      <c r="F21" s="14">
        <f>SUM(F12:F20)</f>
        <v>0</v>
      </c>
      <c r="G21" s="14">
        <f>SUM(G12:G20)</f>
        <v>0</v>
      </c>
      <c r="H21" s="14">
        <f>SUM(H12:H20)</f>
        <v>0</v>
      </c>
      <c r="I21" s="14">
        <f>SUM(I12:I20)</f>
        <v>0</v>
      </c>
      <c r="J21" s="14">
        <f>SUM(J12:J20)</f>
        <v>0</v>
      </c>
      <c r="K21" s="14">
        <f>SUM(K12:K20)</f>
        <v>618.26835440000002</v>
      </c>
      <c r="L21" s="14">
        <f>SUM(L12:L20)</f>
        <v>0</v>
      </c>
      <c r="M21" s="14">
        <f>SUM(M12:M20)</f>
        <v>0</v>
      </c>
      <c r="N21" s="14">
        <f>SUM(N12:N20)</f>
        <v>28855.021764100002</v>
      </c>
      <c r="O21" s="14">
        <f>SUM(O12:O20)</f>
        <v>125815.00186049999</v>
      </c>
      <c r="P21" s="14">
        <f>SUM(P12:P20)</f>
        <v>65193.015971000001</v>
      </c>
    </row>
    <row r="22" spans="2:23" x14ac:dyDescent="0.25">
      <c r="B22" s="15" t="s">
        <v>31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23" x14ac:dyDescent="0.25">
      <c r="B23" s="11" t="s">
        <v>32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/>
      <c r="R23" s="12"/>
      <c r="S23" s="12"/>
      <c r="T23" s="12"/>
      <c r="U23" s="12"/>
      <c r="V23" s="12"/>
      <c r="W23" s="12"/>
    </row>
    <row r="24" spans="2:23" x14ac:dyDescent="0.25">
      <c r="B24" s="9" t="s">
        <v>33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/>
      <c r="R24" s="10"/>
      <c r="S24" s="10"/>
      <c r="T24" s="10"/>
      <c r="U24" s="10"/>
      <c r="V24" s="10"/>
      <c r="W24" s="10"/>
    </row>
    <row r="25" spans="2:23" x14ac:dyDescent="0.25">
      <c r="B25" s="11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/>
      <c r="R25" s="12"/>
      <c r="S25" s="12"/>
      <c r="T25" s="12"/>
      <c r="U25" s="12"/>
      <c r="V25" s="12"/>
      <c r="W25" s="12"/>
    </row>
    <row r="26" spans="2:23" x14ac:dyDescent="0.25">
      <c r="B26" s="9" t="s">
        <v>35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/>
      <c r="R26" s="10"/>
      <c r="S26" s="10"/>
      <c r="T26" s="10"/>
      <c r="U26" s="10"/>
      <c r="V26" s="10"/>
      <c r="W26" s="10"/>
    </row>
    <row r="27" spans="2:23" x14ac:dyDescent="0.25">
      <c r="B27" s="11" t="s">
        <v>36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/>
      <c r="R27" s="12"/>
      <c r="S27" s="12"/>
      <c r="T27" s="12"/>
      <c r="U27" s="12"/>
      <c r="V27" s="12"/>
      <c r="W27" s="12"/>
    </row>
    <row r="28" spans="2:23" x14ac:dyDescent="0.25">
      <c r="B28" s="9" t="s">
        <v>37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/>
      <c r="R28" s="10"/>
      <c r="S28" s="10"/>
      <c r="T28" s="10"/>
      <c r="U28" s="10"/>
      <c r="V28" s="10"/>
      <c r="W28" s="10"/>
    </row>
    <row r="29" spans="2:23" x14ac:dyDescent="0.25">
      <c r="B29" s="11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/>
      <c r="R29" s="12"/>
      <c r="S29" s="12"/>
      <c r="T29" s="12"/>
      <c r="U29" s="12"/>
      <c r="V29" s="12"/>
      <c r="W29" s="12"/>
    </row>
    <row r="30" spans="2:23" x14ac:dyDescent="0.25">
      <c r="B30" s="9" t="s">
        <v>39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/>
      <c r="R30" s="10"/>
      <c r="S30" s="10"/>
      <c r="T30" s="10"/>
      <c r="U30" s="10"/>
      <c r="V30" s="10"/>
      <c r="W30" s="10"/>
    </row>
    <row r="31" spans="2:23" x14ac:dyDescent="0.25">
      <c r="B31" s="11" t="s">
        <v>40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/>
      <c r="R31" s="12"/>
      <c r="S31" s="12"/>
      <c r="T31" s="12"/>
      <c r="U31" s="12"/>
      <c r="V31" s="12"/>
      <c r="W31" s="12"/>
    </row>
    <row r="32" spans="2:23" x14ac:dyDescent="0.25">
      <c r="B32" s="9" t="s">
        <v>41</v>
      </c>
      <c r="C32" s="10">
        <v>75066.693645099993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/>
      <c r="R32" s="10"/>
      <c r="S32" s="10"/>
      <c r="T32" s="10"/>
      <c r="U32" s="10"/>
      <c r="V32" s="10"/>
      <c r="W32" s="10"/>
    </row>
    <row r="33" spans="2:23" x14ac:dyDescent="0.25">
      <c r="B33" s="11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/>
      <c r="R33" s="12"/>
      <c r="S33" s="12"/>
      <c r="T33" s="12"/>
      <c r="U33" s="12"/>
      <c r="V33" s="12"/>
      <c r="W33" s="12"/>
    </row>
    <row r="34" spans="2:23" x14ac:dyDescent="0.25">
      <c r="B34" s="9" t="s">
        <v>43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/>
      <c r="R34" s="10"/>
      <c r="S34" s="10"/>
      <c r="T34" s="10"/>
      <c r="U34" s="10"/>
      <c r="V34" s="10"/>
      <c r="W34" s="10"/>
    </row>
    <row r="35" spans="2:23" x14ac:dyDescent="0.25">
      <c r="B35" s="13" t="s">
        <v>44</v>
      </c>
      <c r="C35" s="14">
        <f>SUM(C23:C34)</f>
        <v>75066.693645099993</v>
      </c>
      <c r="D35" s="14">
        <f>SUM(D23:D34)</f>
        <v>0</v>
      </c>
      <c r="E35" s="14">
        <f>SUM(E23:E34)</f>
        <v>0</v>
      </c>
      <c r="F35" s="14">
        <f>SUM(F23:F34)</f>
        <v>0</v>
      </c>
      <c r="G35" s="14">
        <f>SUM(G23:G34)</f>
        <v>0</v>
      </c>
      <c r="H35" s="14">
        <f>SUM(H23:H34)</f>
        <v>0</v>
      </c>
      <c r="I35" s="14">
        <f>SUM(I23:I34)</f>
        <v>0</v>
      </c>
      <c r="J35" s="14">
        <f>SUM(J23:J34)</f>
        <v>0</v>
      </c>
      <c r="K35" s="14">
        <f>SUM(K23:K34)</f>
        <v>0</v>
      </c>
      <c r="L35" s="14">
        <f>SUM(L23:L34)</f>
        <v>0</v>
      </c>
      <c r="M35" s="14">
        <f>SUM(M23:M34)</f>
        <v>0</v>
      </c>
      <c r="N35" s="14">
        <f>SUM(N23:N34)</f>
        <v>0</v>
      </c>
      <c r="O35" s="14">
        <f>SUM(O23:O34)</f>
        <v>0</v>
      </c>
      <c r="P35" s="14">
        <f>SUM(P23:P34)</f>
        <v>0</v>
      </c>
    </row>
    <row r="36" spans="2:23" x14ac:dyDescent="0.25">
      <c r="B36" s="15" t="s">
        <v>45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23" x14ac:dyDescent="0.25">
      <c r="B37" s="11" t="s">
        <v>46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/>
      <c r="R37" s="12"/>
      <c r="S37" s="12"/>
      <c r="T37" s="12"/>
      <c r="U37" s="12"/>
      <c r="V37" s="12"/>
      <c r="W37" s="12"/>
    </row>
    <row r="38" spans="2:23" x14ac:dyDescent="0.25">
      <c r="B38" s="9" t="s">
        <v>47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/>
      <c r="R38" s="10"/>
      <c r="S38" s="10"/>
      <c r="T38" s="10"/>
      <c r="U38" s="10"/>
      <c r="V38" s="10"/>
      <c r="W38" s="10"/>
    </row>
    <row r="39" spans="2:23" x14ac:dyDescent="0.25">
      <c r="B39" s="11" t="s">
        <v>48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/>
      <c r="R39" s="12"/>
      <c r="S39" s="12"/>
      <c r="T39" s="12"/>
      <c r="U39" s="12"/>
      <c r="V39" s="12"/>
      <c r="W39" s="12"/>
    </row>
    <row r="40" spans="2:23" x14ac:dyDescent="0.25">
      <c r="B40" s="9" t="s">
        <v>49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/>
      <c r="R40" s="10"/>
      <c r="S40" s="10"/>
      <c r="T40" s="10"/>
      <c r="U40" s="10"/>
      <c r="V40" s="10"/>
      <c r="W40" s="10"/>
    </row>
    <row r="41" spans="2:23" x14ac:dyDescent="0.25">
      <c r="B41" s="11" t="s">
        <v>50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/>
      <c r="R41" s="12"/>
      <c r="S41" s="12"/>
      <c r="T41" s="12"/>
      <c r="U41" s="12"/>
      <c r="V41" s="12"/>
      <c r="W41" s="12"/>
    </row>
    <row r="42" spans="2:23" x14ac:dyDescent="0.25">
      <c r="B42" s="9" t="s">
        <v>51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/>
      <c r="R42" s="10"/>
      <c r="S42" s="10"/>
      <c r="T42" s="10"/>
      <c r="U42" s="10"/>
      <c r="V42" s="10"/>
      <c r="W42" s="10"/>
    </row>
    <row r="43" spans="2:23" x14ac:dyDescent="0.25">
      <c r="B43" s="11" t="s">
        <v>52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/>
      <c r="R43" s="12"/>
      <c r="S43" s="12"/>
      <c r="T43" s="12"/>
      <c r="U43" s="12"/>
      <c r="V43" s="12"/>
      <c r="W43" s="12"/>
    </row>
    <row r="44" spans="2:23" x14ac:dyDescent="0.25">
      <c r="B44" s="16" t="s">
        <v>53</v>
      </c>
      <c r="C44" s="17">
        <f>SUM(C37:C43)</f>
        <v>0</v>
      </c>
      <c r="D44" s="17">
        <f>SUM(D37:D43)</f>
        <v>0</v>
      </c>
      <c r="E44" s="17">
        <f>SUM(E37:E43)</f>
        <v>0</v>
      </c>
      <c r="F44" s="17">
        <f>SUM(F37:F43)</f>
        <v>0</v>
      </c>
      <c r="G44" s="17">
        <f>SUM(G37:G43)</f>
        <v>0</v>
      </c>
      <c r="H44" s="17">
        <f>SUM(H37:H43)</f>
        <v>0</v>
      </c>
      <c r="I44" s="17">
        <f>SUM(I37:I43)</f>
        <v>0</v>
      </c>
      <c r="J44" s="17">
        <f>SUM(J37:J43)</f>
        <v>0</v>
      </c>
      <c r="K44" s="17">
        <f>SUM(K37:K43)</f>
        <v>0</v>
      </c>
      <c r="L44" s="17">
        <f>SUM(L37:L43)</f>
        <v>0</v>
      </c>
      <c r="M44" s="17">
        <f>SUM(M37:M43)</f>
        <v>0</v>
      </c>
      <c r="N44" s="17">
        <f>SUM(N37:N43)</f>
        <v>0</v>
      </c>
      <c r="O44" s="17">
        <f>SUM(O37:O43)</f>
        <v>0</v>
      </c>
      <c r="P44" s="17">
        <f>SUM(P37:P43)</f>
        <v>0</v>
      </c>
    </row>
    <row r="45" spans="2:23" x14ac:dyDescent="0.25">
      <c r="B45" s="13" t="s">
        <v>54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</row>
    <row r="48" spans="2:23" x14ac:dyDescent="0.25">
      <c r="B48" s="18" t="s">
        <v>55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2:16" x14ac:dyDescent="0.25">
      <c r="B49" s="18" t="s">
        <v>56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2:16" x14ac:dyDescent="0.25">
      <c r="B50" s="18" t="s">
        <v>57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2:16" x14ac:dyDescent="0.25">
      <c r="B51" s="18" t="s">
        <v>19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2:16" x14ac:dyDescent="0.25">
      <c r="B52" s="18" t="s">
        <v>58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</row>
    <row r="53" spans="2:16" x14ac:dyDescent="0.25">
      <c r="B53" s="18" t="s">
        <v>59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2:16" x14ac:dyDescent="0.25">
      <c r="B54" s="18" t="s">
        <v>60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2D47E-383E-45DA-91B9-78CEAC32ECDA}">
  <dimension ref="B2:W54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C8" sqref="C8"/>
    </sheetView>
  </sheetViews>
  <sheetFormatPr baseColWidth="10" defaultRowHeight="15" x14ac:dyDescent="0.25"/>
  <cols>
    <col min="1" max="1" width="3.7109375" style="1" customWidth="1"/>
    <col min="2" max="2" width="53.85546875" style="1" bestFit="1" customWidth="1"/>
    <col min="3" max="9" width="17.42578125" style="1" bestFit="1" customWidth="1"/>
    <col min="10" max="15" width="17.5703125" style="1" bestFit="1" customWidth="1"/>
    <col min="16" max="16" width="11.85546875" style="1" bestFit="1" customWidth="1"/>
    <col min="17" max="17" width="12.7109375" style="1" bestFit="1" customWidth="1"/>
    <col min="18" max="19" width="11.5703125" style="1" bestFit="1" customWidth="1"/>
    <col min="20" max="20" width="12.7109375" style="1" bestFit="1" customWidth="1"/>
    <col min="21" max="22" width="11.5703125" style="1" bestFit="1" customWidth="1"/>
    <col min="23" max="16384" width="11.42578125" style="1"/>
  </cols>
  <sheetData>
    <row r="2" spans="2:23" ht="18.75" x14ac:dyDescent="0.3">
      <c r="B2" s="2" t="s">
        <v>0</v>
      </c>
    </row>
    <row r="4" spans="2:23" x14ac:dyDescent="0.25">
      <c r="I4" s="3" t="s">
        <v>9</v>
      </c>
    </row>
    <row r="5" spans="2:23" x14ac:dyDescent="0.25">
      <c r="B5" s="5" t="s">
        <v>16</v>
      </c>
      <c r="C5" s="5" t="s">
        <v>2</v>
      </c>
      <c r="D5" s="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10</v>
      </c>
      <c r="K5" s="5" t="s">
        <v>11</v>
      </c>
      <c r="L5" s="5" t="s">
        <v>12</v>
      </c>
      <c r="M5" s="5" t="s">
        <v>13</v>
      </c>
      <c r="N5" s="5" t="s">
        <v>14</v>
      </c>
      <c r="O5" s="5" t="s">
        <v>15</v>
      </c>
    </row>
    <row r="6" spans="2:23" x14ac:dyDescent="0.25">
      <c r="B6" s="6"/>
      <c r="C6" s="7">
        <v>46076</v>
      </c>
      <c r="D6" s="7">
        <v>46083</v>
      </c>
      <c r="E6" s="7">
        <v>46090</v>
      </c>
      <c r="F6" s="7">
        <v>46097</v>
      </c>
      <c r="G6" s="7">
        <v>46104</v>
      </c>
      <c r="H6" s="7">
        <v>46111</v>
      </c>
      <c r="I6" s="7">
        <v>46118</v>
      </c>
      <c r="J6" s="7">
        <v>46125</v>
      </c>
      <c r="K6" s="7">
        <v>46132</v>
      </c>
      <c r="L6" s="7">
        <v>46139</v>
      </c>
      <c r="M6" s="7">
        <v>46146</v>
      </c>
      <c r="N6" s="7">
        <v>46153</v>
      </c>
      <c r="O6" s="7">
        <v>46160</v>
      </c>
    </row>
    <row r="8" spans="2:23" x14ac:dyDescent="0.25">
      <c r="B8" s="9" t="s">
        <v>17</v>
      </c>
      <c r="C8" s="10">
        <v>9055933019314.8105</v>
      </c>
      <c r="D8" s="10">
        <v>9072716006801.1504</v>
      </c>
      <c r="E8" s="10">
        <v>9072716006801.1504</v>
      </c>
      <c r="F8" s="10">
        <v>9072716006801.1504</v>
      </c>
      <c r="G8" s="10">
        <v>9072716006801.1504</v>
      </c>
      <c r="H8" s="10">
        <v>9072716006801.1504</v>
      </c>
      <c r="I8" s="10">
        <v>9072716006801.1504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</row>
    <row r="9" spans="2:23" x14ac:dyDescent="0.25">
      <c r="B9" s="11" t="s">
        <v>18</v>
      </c>
      <c r="C9" s="12">
        <v>2659066819079.2002</v>
      </c>
      <c r="D9" s="12">
        <v>2715205619472.2202</v>
      </c>
      <c r="E9" s="12">
        <v>2716957458055.2598</v>
      </c>
      <c r="F9" s="12">
        <v>2716957458055.2598</v>
      </c>
      <c r="G9" s="12">
        <v>2716957458055.2598</v>
      </c>
      <c r="H9" s="12">
        <v>2716957458055.2598</v>
      </c>
      <c r="I9" s="12">
        <v>2716957458055.2598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</row>
    <row r="10" spans="2:23" x14ac:dyDescent="0.25">
      <c r="B10" s="9" t="s">
        <v>19</v>
      </c>
      <c r="C10" s="10">
        <v>11714999838394.01</v>
      </c>
      <c r="D10" s="10">
        <v>11787921626273.369</v>
      </c>
      <c r="E10" s="10">
        <v>11789673464856.41</v>
      </c>
      <c r="F10" s="10">
        <v>11789673464856.41</v>
      </c>
      <c r="G10" s="10">
        <v>11789673464856.41</v>
      </c>
      <c r="H10" s="10">
        <v>11789673464856.41</v>
      </c>
      <c r="I10" s="10">
        <v>11789673464856.41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</row>
    <row r="11" spans="2:23" x14ac:dyDescent="0.25">
      <c r="B11" s="3" t="s">
        <v>20</v>
      </c>
    </row>
    <row r="12" spans="2:23" x14ac:dyDescent="0.25">
      <c r="B12" s="9" t="s">
        <v>21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/>
      <c r="R12" s="10"/>
      <c r="S12" s="10"/>
      <c r="T12" s="10"/>
      <c r="U12" s="10"/>
      <c r="V12" s="10"/>
      <c r="W12" s="10"/>
    </row>
    <row r="13" spans="2:23" x14ac:dyDescent="0.25">
      <c r="B13" s="11" t="s">
        <v>22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/>
      <c r="R13" s="12"/>
      <c r="S13" s="12"/>
      <c r="T13" s="12"/>
      <c r="U13" s="12"/>
      <c r="V13" s="12"/>
      <c r="W13" s="12"/>
    </row>
    <row r="14" spans="2:23" x14ac:dyDescent="0.25">
      <c r="B14" s="9" t="s">
        <v>23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/>
      <c r="R14" s="10"/>
      <c r="S14" s="10"/>
      <c r="T14" s="10"/>
      <c r="U14" s="10"/>
      <c r="V14" s="10"/>
      <c r="W14" s="10"/>
    </row>
    <row r="15" spans="2:23" x14ac:dyDescent="0.25">
      <c r="B15" s="11" t="s">
        <v>24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2328584.1033000001</v>
      </c>
      <c r="L15" s="12">
        <v>0</v>
      </c>
      <c r="M15" s="12">
        <v>0</v>
      </c>
      <c r="N15" s="12">
        <v>108746786.1742</v>
      </c>
      <c r="O15" s="12">
        <v>474162771.96280003</v>
      </c>
      <c r="P15" s="12">
        <v>245694875.08160001</v>
      </c>
      <c r="Q15" s="12">
        <v>1333420331.9321001</v>
      </c>
      <c r="R15" s="12">
        <v>671491101.50300002</v>
      </c>
      <c r="S15" s="12">
        <v>71495858.649599999</v>
      </c>
      <c r="T15" s="12">
        <v>1066284620.0904</v>
      </c>
      <c r="U15" s="12">
        <v>449786507.20200002</v>
      </c>
      <c r="V15" s="12">
        <v>154025323.13519999</v>
      </c>
      <c r="W15" s="12"/>
    </row>
    <row r="16" spans="2:23" x14ac:dyDescent="0.25">
      <c r="B16" s="9" t="s">
        <v>25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/>
      <c r="R16" s="10"/>
      <c r="S16" s="10"/>
      <c r="T16" s="10"/>
      <c r="U16" s="10"/>
      <c r="V16" s="10"/>
      <c r="W16" s="10"/>
    </row>
    <row r="17" spans="2:23" x14ac:dyDescent="0.25">
      <c r="B17" s="11" t="s">
        <v>26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/>
      <c r="R17" s="12"/>
      <c r="S17" s="12"/>
      <c r="T17" s="12"/>
      <c r="U17" s="12"/>
      <c r="V17" s="12"/>
      <c r="W17" s="12"/>
    </row>
    <row r="18" spans="2:23" x14ac:dyDescent="0.25">
      <c r="B18" s="9" t="s">
        <v>27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/>
      <c r="R18" s="10"/>
      <c r="S18" s="10"/>
      <c r="T18" s="10"/>
      <c r="U18" s="10"/>
      <c r="V18" s="10"/>
      <c r="W18" s="10"/>
    </row>
    <row r="19" spans="2:23" x14ac:dyDescent="0.25">
      <c r="B19" s="11" t="s">
        <v>28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/>
      <c r="R19" s="12"/>
      <c r="S19" s="12"/>
      <c r="T19" s="12"/>
      <c r="U19" s="12"/>
      <c r="V19" s="12"/>
      <c r="W19" s="12"/>
    </row>
    <row r="20" spans="2:23" x14ac:dyDescent="0.25">
      <c r="B20" s="9" t="s">
        <v>29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/>
      <c r="R20" s="10"/>
      <c r="S20" s="10"/>
      <c r="T20" s="10"/>
      <c r="U20" s="10"/>
      <c r="V20" s="10"/>
      <c r="W20" s="10"/>
    </row>
    <row r="21" spans="2:23" x14ac:dyDescent="0.25">
      <c r="B21" s="13" t="s">
        <v>30</v>
      </c>
      <c r="C21" s="14">
        <f>SUM(C12:C20)</f>
        <v>0</v>
      </c>
      <c r="D21" s="14">
        <f>SUM(D12:D20)</f>
        <v>0</v>
      </c>
      <c r="E21" s="14">
        <f>SUM(E12:E20)</f>
        <v>0</v>
      </c>
      <c r="F21" s="14">
        <f>SUM(F12:F20)</f>
        <v>0</v>
      </c>
      <c r="G21" s="14">
        <f>SUM(G12:G20)</f>
        <v>0</v>
      </c>
      <c r="H21" s="14">
        <f>SUM(H12:H20)</f>
        <v>0</v>
      </c>
      <c r="I21" s="14">
        <f>SUM(I12:I20)</f>
        <v>0</v>
      </c>
      <c r="J21" s="14">
        <f>SUM(J12:J20)</f>
        <v>0</v>
      </c>
      <c r="K21" s="14">
        <f>SUM(K12:K20)</f>
        <v>2328584.1033000001</v>
      </c>
      <c r="L21" s="14">
        <f>SUM(L12:L20)</f>
        <v>0</v>
      </c>
      <c r="M21" s="14">
        <f>SUM(M12:M20)</f>
        <v>0</v>
      </c>
      <c r="N21" s="14">
        <f>SUM(N12:N20)</f>
        <v>108746786.1742</v>
      </c>
      <c r="O21" s="14">
        <f>SUM(O12:O20)</f>
        <v>474162771.96280003</v>
      </c>
      <c r="P21" s="14">
        <f>SUM(P12:P20)</f>
        <v>245694875.08160001</v>
      </c>
    </row>
    <row r="22" spans="2:23" x14ac:dyDescent="0.25">
      <c r="B22" s="15" t="s">
        <v>31</v>
      </c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</row>
    <row r="23" spans="2:23" x14ac:dyDescent="0.25">
      <c r="B23" s="11" t="s">
        <v>32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/>
      <c r="R23" s="12"/>
      <c r="S23" s="12"/>
      <c r="T23" s="12"/>
      <c r="U23" s="12"/>
      <c r="V23" s="12"/>
      <c r="W23" s="12"/>
    </row>
    <row r="24" spans="2:23" x14ac:dyDescent="0.25">
      <c r="B24" s="9" t="s">
        <v>33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/>
      <c r="R24" s="10"/>
      <c r="S24" s="10"/>
      <c r="T24" s="10"/>
      <c r="U24" s="10"/>
      <c r="V24" s="10"/>
      <c r="W24" s="10"/>
    </row>
    <row r="25" spans="2:23" x14ac:dyDescent="0.25">
      <c r="B25" s="11" t="s">
        <v>34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/>
      <c r="R25" s="12"/>
      <c r="S25" s="12"/>
      <c r="T25" s="12"/>
      <c r="U25" s="12"/>
      <c r="V25" s="12"/>
      <c r="W25" s="12"/>
    </row>
    <row r="26" spans="2:23" x14ac:dyDescent="0.25">
      <c r="B26" s="9" t="s">
        <v>35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/>
      <c r="R26" s="10"/>
      <c r="S26" s="10"/>
      <c r="T26" s="10"/>
      <c r="U26" s="10"/>
      <c r="V26" s="10"/>
      <c r="W26" s="10"/>
    </row>
    <row r="27" spans="2:23" x14ac:dyDescent="0.25">
      <c r="B27" s="11" t="s">
        <v>36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/>
      <c r="R27" s="12"/>
      <c r="S27" s="12"/>
      <c r="T27" s="12"/>
      <c r="U27" s="12"/>
      <c r="V27" s="12"/>
      <c r="W27" s="12"/>
    </row>
    <row r="28" spans="2:23" x14ac:dyDescent="0.25">
      <c r="B28" s="9" t="s">
        <v>37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/>
      <c r="R28" s="10"/>
      <c r="S28" s="10"/>
      <c r="T28" s="10"/>
      <c r="U28" s="10"/>
      <c r="V28" s="10"/>
      <c r="W28" s="10"/>
    </row>
    <row r="29" spans="2:23" x14ac:dyDescent="0.25">
      <c r="B29" s="11" t="s">
        <v>38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/>
      <c r="R29" s="12"/>
      <c r="S29" s="12"/>
      <c r="T29" s="12"/>
      <c r="U29" s="12"/>
      <c r="V29" s="12"/>
      <c r="W29" s="12"/>
    </row>
    <row r="30" spans="2:23" x14ac:dyDescent="0.25">
      <c r="B30" s="9" t="s">
        <v>39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/>
      <c r="R30" s="10"/>
      <c r="S30" s="10"/>
      <c r="T30" s="10"/>
      <c r="U30" s="10"/>
      <c r="V30" s="10"/>
      <c r="W30" s="10"/>
    </row>
    <row r="31" spans="2:23" x14ac:dyDescent="0.25">
      <c r="B31" s="11" t="s">
        <v>40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/>
      <c r="R31" s="12"/>
      <c r="S31" s="12"/>
      <c r="T31" s="12"/>
      <c r="U31" s="12"/>
      <c r="V31" s="12"/>
      <c r="W31" s="12"/>
    </row>
    <row r="32" spans="2:23" x14ac:dyDescent="0.25">
      <c r="B32" s="9" t="s">
        <v>41</v>
      </c>
      <c r="C32" s="10">
        <v>277096688.92000002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/>
      <c r="R32" s="10"/>
      <c r="S32" s="10"/>
      <c r="T32" s="10"/>
      <c r="U32" s="10"/>
      <c r="V32" s="10"/>
      <c r="W32" s="10"/>
    </row>
    <row r="33" spans="2:23" x14ac:dyDescent="0.25">
      <c r="B33" s="11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/>
      <c r="R33" s="12"/>
      <c r="S33" s="12"/>
      <c r="T33" s="12"/>
      <c r="U33" s="12"/>
      <c r="V33" s="12"/>
      <c r="W33" s="12"/>
    </row>
    <row r="34" spans="2:23" x14ac:dyDescent="0.25">
      <c r="B34" s="9" t="s">
        <v>43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/>
      <c r="R34" s="10"/>
      <c r="S34" s="10"/>
      <c r="T34" s="10"/>
      <c r="U34" s="10"/>
      <c r="V34" s="10"/>
      <c r="W34" s="10"/>
    </row>
    <row r="35" spans="2:23" x14ac:dyDescent="0.25">
      <c r="B35" s="13" t="s">
        <v>44</v>
      </c>
      <c r="C35" s="14">
        <f>SUM(C23:C34)</f>
        <v>277096688.92000002</v>
      </c>
      <c r="D35" s="14">
        <f>SUM(D23:D34)</f>
        <v>0</v>
      </c>
      <c r="E35" s="14">
        <f>SUM(E23:E34)</f>
        <v>0</v>
      </c>
      <c r="F35" s="14">
        <f>SUM(F23:F34)</f>
        <v>0</v>
      </c>
      <c r="G35" s="14">
        <f>SUM(G23:G34)</f>
        <v>0</v>
      </c>
      <c r="H35" s="14">
        <f>SUM(H23:H34)</f>
        <v>0</v>
      </c>
      <c r="I35" s="14">
        <f>SUM(I23:I34)</f>
        <v>0</v>
      </c>
      <c r="J35" s="14">
        <f>SUM(J23:J34)</f>
        <v>0</v>
      </c>
      <c r="K35" s="14">
        <f>SUM(K23:K34)</f>
        <v>0</v>
      </c>
      <c r="L35" s="14">
        <f>SUM(L23:L34)</f>
        <v>0</v>
      </c>
      <c r="M35" s="14">
        <f>SUM(M23:M34)</f>
        <v>0</v>
      </c>
      <c r="N35" s="14">
        <f>SUM(N23:N34)</f>
        <v>0</v>
      </c>
      <c r="O35" s="14">
        <f>SUM(O23:O34)</f>
        <v>0</v>
      </c>
      <c r="P35" s="14">
        <f>SUM(P23:P34)</f>
        <v>0</v>
      </c>
    </row>
    <row r="36" spans="2:23" x14ac:dyDescent="0.25">
      <c r="B36" s="15" t="s">
        <v>45</v>
      </c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</row>
    <row r="37" spans="2:23" x14ac:dyDescent="0.25">
      <c r="B37" s="11" t="s">
        <v>46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/>
      <c r="R37" s="12"/>
      <c r="S37" s="12"/>
      <c r="T37" s="12"/>
      <c r="U37" s="12"/>
      <c r="V37" s="12"/>
      <c r="W37" s="12"/>
    </row>
    <row r="38" spans="2:23" x14ac:dyDescent="0.25">
      <c r="B38" s="9" t="s">
        <v>47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/>
      <c r="R38" s="10"/>
      <c r="S38" s="10"/>
      <c r="T38" s="10"/>
      <c r="U38" s="10"/>
      <c r="V38" s="10"/>
      <c r="W38" s="10"/>
    </row>
    <row r="39" spans="2:23" x14ac:dyDescent="0.25">
      <c r="B39" s="11" t="s">
        <v>48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/>
      <c r="R39" s="12"/>
      <c r="S39" s="12"/>
      <c r="T39" s="12"/>
      <c r="U39" s="12"/>
      <c r="V39" s="12"/>
      <c r="W39" s="12"/>
    </row>
    <row r="40" spans="2:23" x14ac:dyDescent="0.25">
      <c r="B40" s="9" t="s">
        <v>49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/>
      <c r="R40" s="10"/>
      <c r="S40" s="10"/>
      <c r="T40" s="10"/>
      <c r="U40" s="10"/>
      <c r="V40" s="10"/>
      <c r="W40" s="10"/>
    </row>
    <row r="41" spans="2:23" x14ac:dyDescent="0.25">
      <c r="B41" s="11" t="s">
        <v>50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/>
      <c r="R41" s="12"/>
      <c r="S41" s="12"/>
      <c r="T41" s="12"/>
      <c r="U41" s="12"/>
      <c r="V41" s="12"/>
      <c r="W41" s="12"/>
    </row>
    <row r="42" spans="2:23" x14ac:dyDescent="0.25">
      <c r="B42" s="9" t="s">
        <v>51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/>
      <c r="R42" s="10"/>
      <c r="S42" s="10"/>
      <c r="T42" s="10"/>
      <c r="U42" s="10"/>
      <c r="V42" s="10"/>
      <c r="W42" s="10"/>
    </row>
    <row r="43" spans="2:23" x14ac:dyDescent="0.25">
      <c r="B43" s="11" t="s">
        <v>52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/>
      <c r="R43" s="12"/>
      <c r="S43" s="12"/>
      <c r="T43" s="12"/>
      <c r="U43" s="12"/>
      <c r="V43" s="12"/>
      <c r="W43" s="12"/>
    </row>
    <row r="44" spans="2:23" x14ac:dyDescent="0.25">
      <c r="B44" s="16" t="s">
        <v>53</v>
      </c>
      <c r="C44" s="17">
        <f>SUM(C37:C43)</f>
        <v>0</v>
      </c>
      <c r="D44" s="17">
        <f>SUM(D37:D43)</f>
        <v>0</v>
      </c>
      <c r="E44" s="17">
        <f>SUM(E37:E43)</f>
        <v>0</v>
      </c>
      <c r="F44" s="17">
        <f>SUM(F37:F43)</f>
        <v>0</v>
      </c>
      <c r="G44" s="17">
        <f>SUM(G37:G43)</f>
        <v>0</v>
      </c>
      <c r="H44" s="17">
        <f>SUM(H37:H43)</f>
        <v>0</v>
      </c>
      <c r="I44" s="17">
        <f>SUM(I37:I43)</f>
        <v>0</v>
      </c>
      <c r="J44" s="17">
        <f>SUM(J37:J43)</f>
        <v>0</v>
      </c>
      <c r="K44" s="17">
        <f>SUM(K37:K43)</f>
        <v>0</v>
      </c>
      <c r="L44" s="17">
        <f>SUM(L37:L43)</f>
        <v>0</v>
      </c>
      <c r="M44" s="17">
        <f>SUM(M37:M43)</f>
        <v>0</v>
      </c>
      <c r="N44" s="17">
        <f>SUM(N37:N43)</f>
        <v>0</v>
      </c>
      <c r="O44" s="17">
        <f>SUM(O37:O43)</f>
        <v>0</v>
      </c>
      <c r="P44" s="17">
        <f>SUM(P37:P43)</f>
        <v>0</v>
      </c>
    </row>
    <row r="45" spans="2:23" x14ac:dyDescent="0.25">
      <c r="B45" s="13" t="s">
        <v>54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</row>
    <row r="48" spans="2:23" x14ac:dyDescent="0.25">
      <c r="B48" s="18" t="s">
        <v>55</v>
      </c>
      <c r="C48" s="19">
        <v>0</v>
      </c>
      <c r="D48" s="19">
        <v>0</v>
      </c>
      <c r="E48" s="19">
        <v>0</v>
      </c>
      <c r="F48" s="19">
        <v>0</v>
      </c>
      <c r="G48" s="19">
        <v>0</v>
      </c>
      <c r="H48" s="19">
        <v>0</v>
      </c>
      <c r="I48" s="19">
        <v>0</v>
      </c>
      <c r="J48" s="19">
        <v>0</v>
      </c>
      <c r="K48" s="19">
        <v>0</v>
      </c>
      <c r="L48" s="19">
        <v>0</v>
      </c>
      <c r="M48" s="19">
        <v>0</v>
      </c>
      <c r="N48" s="19">
        <v>0</v>
      </c>
      <c r="O48" s="19">
        <v>0</v>
      </c>
      <c r="P48" s="19">
        <v>0</v>
      </c>
    </row>
    <row r="49" spans="2:16" x14ac:dyDescent="0.25">
      <c r="B49" s="18" t="s">
        <v>56</v>
      </c>
      <c r="C49" s="19">
        <v>0</v>
      </c>
      <c r="D49" s="19">
        <v>0</v>
      </c>
      <c r="E49" s="19">
        <v>0</v>
      </c>
      <c r="F49" s="19">
        <v>0</v>
      </c>
      <c r="G49" s="19">
        <v>0</v>
      </c>
      <c r="H49" s="19">
        <v>0</v>
      </c>
      <c r="I49" s="19">
        <v>0</v>
      </c>
      <c r="J49" s="19">
        <v>0</v>
      </c>
      <c r="K49" s="19">
        <v>0</v>
      </c>
      <c r="L49" s="19">
        <v>0</v>
      </c>
      <c r="M49" s="19">
        <v>0</v>
      </c>
      <c r="N49" s="19">
        <v>0</v>
      </c>
      <c r="O49" s="19">
        <v>0</v>
      </c>
      <c r="P49" s="19">
        <v>0</v>
      </c>
    </row>
    <row r="50" spans="2:16" x14ac:dyDescent="0.25">
      <c r="B50" s="18" t="s">
        <v>57</v>
      </c>
      <c r="C50" s="19">
        <v>0</v>
      </c>
      <c r="D50" s="19">
        <v>0</v>
      </c>
      <c r="E50" s="19">
        <v>0</v>
      </c>
      <c r="F50" s="19">
        <v>0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2:16" x14ac:dyDescent="0.25">
      <c r="B51" s="18" t="s">
        <v>19</v>
      </c>
      <c r="C51" s="19">
        <v>0</v>
      </c>
      <c r="D51" s="19">
        <v>0</v>
      </c>
      <c r="E51" s="19">
        <v>0</v>
      </c>
      <c r="F51" s="19">
        <v>0</v>
      </c>
      <c r="G51" s="19">
        <v>0</v>
      </c>
      <c r="H51" s="19">
        <v>0</v>
      </c>
      <c r="I51" s="19">
        <v>0</v>
      </c>
      <c r="J51" s="19">
        <v>0</v>
      </c>
      <c r="K51" s="19">
        <v>0</v>
      </c>
      <c r="L51" s="19">
        <v>0</v>
      </c>
      <c r="M51" s="19">
        <v>0</v>
      </c>
      <c r="N51" s="19">
        <v>0</v>
      </c>
      <c r="O51" s="19">
        <v>0</v>
      </c>
      <c r="P51" s="19">
        <v>0</v>
      </c>
    </row>
    <row r="52" spans="2:16" x14ac:dyDescent="0.25">
      <c r="B52" s="18" t="s">
        <v>58</v>
      </c>
      <c r="C52" s="19">
        <v>0</v>
      </c>
      <c r="D52" s="19">
        <v>0</v>
      </c>
      <c r="E52" s="19">
        <v>0</v>
      </c>
      <c r="F52" s="19">
        <v>0</v>
      </c>
      <c r="G52" s="19">
        <v>0</v>
      </c>
      <c r="H52" s="19">
        <v>0</v>
      </c>
      <c r="I52" s="19">
        <v>0</v>
      </c>
      <c r="J52" s="19">
        <v>0</v>
      </c>
      <c r="K52" s="19">
        <v>0</v>
      </c>
      <c r="L52" s="19">
        <v>0</v>
      </c>
      <c r="M52" s="19">
        <v>0</v>
      </c>
      <c r="N52" s="19">
        <v>0</v>
      </c>
      <c r="O52" s="19">
        <v>0</v>
      </c>
      <c r="P52" s="19">
        <v>0</v>
      </c>
    </row>
    <row r="53" spans="2:16" x14ac:dyDescent="0.25">
      <c r="B53" s="18" t="s">
        <v>59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</row>
    <row r="54" spans="2:16" x14ac:dyDescent="0.25">
      <c r="B54" s="18" t="s">
        <v>60</v>
      </c>
      <c r="C54" s="19">
        <v>0</v>
      </c>
      <c r="D54" s="19">
        <v>0</v>
      </c>
      <c r="E54" s="19">
        <v>0</v>
      </c>
      <c r="F54" s="19">
        <v>0</v>
      </c>
      <c r="G54" s="19">
        <v>0</v>
      </c>
      <c r="H54" s="19">
        <v>0</v>
      </c>
      <c r="I54" s="19">
        <v>0</v>
      </c>
      <c r="J54" s="19">
        <v>0</v>
      </c>
      <c r="K54" s="19">
        <v>0</v>
      </c>
      <c r="L54" s="19">
        <v>0</v>
      </c>
      <c r="M54" s="19">
        <v>0</v>
      </c>
      <c r="N54" s="19">
        <v>0</v>
      </c>
      <c r="O54" s="19">
        <v>0</v>
      </c>
      <c r="P54" s="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CF I Q-AJUSTADO USD</vt:lpstr>
      <vt:lpstr>CF I Q-AJUSTADO COP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2026-04-12T22:13:15Z</dcterms:created>
  <dcterms:modified xsi:type="dcterms:W3CDTF">2026-04-12T22:13:54Z</dcterms:modified>
</cp:coreProperties>
</file>